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5DCC82FD6546B193/Documents/"/>
    </mc:Choice>
  </mc:AlternateContent>
  <xr:revisionPtr revIDLastSave="0" documentId="8_{EBCD7F89-C277-43E0-BC93-34C6CA714D28}" xr6:coauthVersionLast="47" xr6:coauthVersionMax="47" xr10:uidLastSave="{00000000-0000-0000-0000-000000000000}"/>
  <bookViews>
    <workbookView xWindow="-98" yWindow="-98" windowWidth="19396" windowHeight="11475" firstSheet="1" activeTab="1" xr2:uid="{91B5C888-12CB-41E1-B080-3B6B45862F73}"/>
  </bookViews>
  <sheets>
    <sheet name="Budget Overview" sheetId="1" r:id="rId1"/>
    <sheet name="Budget" sheetId="3" r:id="rId2"/>
    <sheet name="Detailed Tracker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7" i="1"/>
  <c r="I5" i="4"/>
  <c r="I4" i="4"/>
  <c r="I3" i="4"/>
  <c r="I2" i="4"/>
  <c r="F3" i="4"/>
  <c r="F4" i="4"/>
  <c r="F5" i="4"/>
  <c r="F6" i="4"/>
  <c r="F7" i="4"/>
  <c r="F8" i="4"/>
  <c r="F9" i="4"/>
  <c r="F2" i="4"/>
</calcChain>
</file>

<file path=xl/sharedStrings.xml><?xml version="1.0" encoding="utf-8"?>
<sst xmlns="http://schemas.openxmlformats.org/spreadsheetml/2006/main" count="59" uniqueCount="34">
  <si>
    <t>Monthly Household Budget Overview</t>
  </si>
  <si>
    <t>Period:</t>
  </si>
  <si>
    <t>Categories</t>
  </si>
  <si>
    <t>Budget</t>
  </si>
  <si>
    <t>Actual</t>
  </si>
  <si>
    <t>Total income</t>
  </si>
  <si>
    <t>Total expenses</t>
  </si>
  <si>
    <t>Total savings</t>
  </si>
  <si>
    <t>Category</t>
  </si>
  <si>
    <t>Budget Amount</t>
  </si>
  <si>
    <t>Salary</t>
  </si>
  <si>
    <t>3000</t>
  </si>
  <si>
    <t>Freelance</t>
  </si>
  <si>
    <t>1000</t>
  </si>
  <si>
    <t>Investments</t>
  </si>
  <si>
    <t>500</t>
  </si>
  <si>
    <t>Rent</t>
  </si>
  <si>
    <t>1500.00</t>
  </si>
  <si>
    <t>Groceries</t>
  </si>
  <si>
    <t>1000.00</t>
  </si>
  <si>
    <t>Transport</t>
  </si>
  <si>
    <t>250.00</t>
  </si>
  <si>
    <t>Utilities</t>
  </si>
  <si>
    <t>150.00</t>
  </si>
  <si>
    <t>Entertainment</t>
  </si>
  <si>
    <t>Type</t>
  </si>
  <si>
    <t>Actual Amount</t>
  </si>
  <si>
    <t>Date</t>
  </si>
  <si>
    <t>Income</t>
  </si>
  <si>
    <t>Income budget total</t>
  </si>
  <si>
    <t>Expense budget total</t>
  </si>
  <si>
    <t>Income actual  total</t>
  </si>
  <si>
    <t>Expense</t>
  </si>
  <si>
    <t>Expense actual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</si>
</sst>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;[Red]&quot;€&quot;\ \-#,##0.00"/>
    <numFmt numFmtId="165" formatCode="&quot;€&quot;\ #,##0.00"/>
    <numFmt numFmtId="166" formatCode="_([$$-409]* #,##0.00_);_([$$-409]* \(#,##0.00\);_([$$-409]* &quot;-&quot;??_);_(@_)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5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165" fontId="0" fillId="0" borderId="0" xfId="0" applyNumberForma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17" fontId="0" fillId="0" borderId="0" xfId="0" applyNumberFormat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4" xfId="0" applyFont="1" applyBorder="1" applyAlignment="1">
      <alignment horizontal="center"/>
    </xf>
    <xf numFmtId="0" fontId="0" fillId="0" borderId="0" xfId="0" quotePrefix="1"/>
    <xf numFmtId="164" fontId="0" fillId="0" borderId="0" xfId="0" applyNumberFormat="1"/>
    <xf numFmtId="0" fontId="0" fillId="0" borderId="12" xfId="0" applyBorder="1"/>
    <xf numFmtId="0" fontId="0" fillId="0" borderId="13" xfId="0" applyBorder="1"/>
    <xf numFmtId="165" fontId="0" fillId="0" borderId="14" xfId="0" applyNumberForma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/>
    <xf numFmtId="166" fontId="0" fillId="0" borderId="0" xfId="0" quotePrefix="1" applyNumberFormat="1"/>
    <xf numFmtId="166" fontId="0" fillId="0" borderId="0" xfId="0" applyNumberFormat="1"/>
    <xf numFmtId="14" fontId="0" fillId="0" borderId="0" xfId="0" applyNumberFormat="1"/>
    <xf numFmtId="166" fontId="2" fillId="3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166" fontId="0" fillId="0" borderId="13" xfId="0" applyNumberFormat="1" applyBorder="1"/>
    <xf numFmtId="166" fontId="0" fillId="0" borderId="14" xfId="0" applyNumberFormat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4">
    <dxf>
      <numFmt numFmtId="165" formatCode="&quot;€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F6653-B07B-4B4F-B9F9-A99E879E4385}" name="Table1" displayName="Table1" ref="C6:E9" totalsRowShown="0" tableBorderDxfId="3">
  <autoFilter ref="C6:E9" xr:uid="{BEDF6653-B07B-4B4F-B9F9-A99E879E4385}"/>
  <tableColumns count="3">
    <tableColumn id="1" xr3:uid="{CCAF76DB-1E30-44FA-8691-D809D5103B36}" name="Categories" dataDxfId="2"/>
    <tableColumn id="2" xr3:uid="{38B19667-CB1F-4146-9953-911F48622D92}" name="Budget" dataDxfId="1">
      <calculatedColumnFormula>'Detailed Tracker'!I2</calculatedColumnFormula>
    </tableColumn>
    <tableColumn id="3" xr3:uid="{2169BF97-9E60-4C29-94A1-73F2593CC537}" name="Actu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34FC-3ACD-44DF-862B-B403C968C6E7}">
  <dimension ref="B1:G14"/>
  <sheetViews>
    <sheetView workbookViewId="0">
      <selection activeCell="E9" sqref="E9"/>
    </sheetView>
  </sheetViews>
  <sheetFormatPr defaultRowHeight="14.25"/>
  <cols>
    <col min="3" max="3" width="13.42578125" customWidth="1"/>
    <col min="4" max="4" width="13.85546875" customWidth="1"/>
    <col min="5" max="5" width="13.140625" customWidth="1"/>
    <col min="6" max="6" width="9.140625" bestFit="1" customWidth="1"/>
    <col min="7" max="7" width="11" customWidth="1"/>
  </cols>
  <sheetData>
    <row r="1" spans="2:7" ht="14.65" thickBot="1"/>
    <row r="2" spans="2:7" ht="14.65" thickBot="1">
      <c r="B2" s="32" t="s">
        <v>0</v>
      </c>
      <c r="C2" s="33"/>
      <c r="D2" s="33"/>
      <c r="E2" s="33"/>
      <c r="F2" s="33"/>
      <c r="G2" s="34"/>
    </row>
    <row r="3" spans="2:7">
      <c r="B3" s="3"/>
      <c r="C3" s="4"/>
      <c r="D3" s="4"/>
      <c r="E3" s="4"/>
      <c r="F3" s="4"/>
      <c r="G3" s="5"/>
    </row>
    <row r="4" spans="2:7">
      <c r="B4" s="12" t="s">
        <v>1</v>
      </c>
      <c r="C4" s="6">
        <v>45566</v>
      </c>
      <c r="G4" s="7"/>
    </row>
    <row r="5" spans="2:7">
      <c r="B5" s="8"/>
      <c r="G5" s="7"/>
    </row>
    <row r="6" spans="2:7">
      <c r="B6" s="8"/>
      <c r="C6" s="18" t="s">
        <v>2</v>
      </c>
      <c r="D6" s="18" t="s">
        <v>3</v>
      </c>
      <c r="E6" s="18" t="s">
        <v>4</v>
      </c>
      <c r="F6" s="2"/>
      <c r="G6" s="7"/>
    </row>
    <row r="7" spans="2:7">
      <c r="B7" s="8"/>
      <c r="C7" s="15" t="s">
        <v>5</v>
      </c>
      <c r="D7">
        <f>'Detailed Tracker'!I2</f>
        <v>0</v>
      </c>
      <c r="E7">
        <v>4500</v>
      </c>
      <c r="F7" s="2"/>
      <c r="G7" s="7"/>
    </row>
    <row r="8" spans="2:7" ht="15">
      <c r="B8" s="8"/>
      <c r="C8" s="16" t="s">
        <v>6</v>
      </c>
      <c r="D8" s="30">
        <v>0</v>
      </c>
      <c r="E8" s="31">
        <v>3956</v>
      </c>
      <c r="F8" s="2"/>
      <c r="G8" s="7"/>
    </row>
    <row r="9" spans="2:7" ht="15">
      <c r="B9" s="9"/>
      <c r="C9" s="16" t="s">
        <v>7</v>
      </c>
      <c r="D9" s="16">
        <f>'Detailed Tracker'!I4</f>
        <v>4500</v>
      </c>
      <c r="E9" s="17"/>
      <c r="F9" s="10"/>
      <c r="G9" s="11"/>
    </row>
    <row r="10" spans="2:7" ht="15"/>
    <row r="14" spans="2:7">
      <c r="C14" s="19"/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2421-C72E-4F23-9300-CBA871EF00A1}">
  <dimension ref="A1:B10"/>
  <sheetViews>
    <sheetView tabSelected="1" workbookViewId="0">
      <selection activeCell="B1" sqref="B1"/>
    </sheetView>
  </sheetViews>
  <sheetFormatPr defaultRowHeight="14.25"/>
  <cols>
    <col min="1" max="1" width="12" bestFit="1" customWidth="1"/>
    <col min="2" max="2" width="14.855468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s="13" t="s">
        <v>11</v>
      </c>
    </row>
    <row r="3" spans="1:2">
      <c r="A3" t="s">
        <v>12</v>
      </c>
      <c r="B3" s="13" t="s">
        <v>13</v>
      </c>
    </row>
    <row r="4" spans="1:2">
      <c r="A4" t="s">
        <v>14</v>
      </c>
      <c r="B4" s="13" t="s">
        <v>15</v>
      </c>
    </row>
    <row r="5" spans="1:2">
      <c r="A5" t="s">
        <v>16</v>
      </c>
      <c r="B5" s="13" t="s">
        <v>17</v>
      </c>
    </row>
    <row r="6" spans="1:2">
      <c r="A6" t="s">
        <v>18</v>
      </c>
      <c r="B6" t="s">
        <v>19</v>
      </c>
    </row>
    <row r="7" spans="1:2">
      <c r="A7" t="s">
        <v>20</v>
      </c>
      <c r="B7" t="s">
        <v>21</v>
      </c>
    </row>
    <row r="8" spans="1:2">
      <c r="A8" t="s">
        <v>22</v>
      </c>
      <c r="B8" t="s">
        <v>23</v>
      </c>
    </row>
    <row r="9" spans="1:2">
      <c r="A9" t="s">
        <v>24</v>
      </c>
      <c r="B9" t="s">
        <v>19</v>
      </c>
    </row>
    <row r="10" spans="1:2">
      <c r="B1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B149-7742-43BD-8BCF-27FFB639B4F7}">
  <dimension ref="A1:I11"/>
  <sheetViews>
    <sheetView workbookViewId="0">
      <selection activeCell="I5" sqref="I5"/>
    </sheetView>
  </sheetViews>
  <sheetFormatPr defaultRowHeight="15"/>
  <cols>
    <col min="2" max="2" width="12.85546875" customWidth="1"/>
    <col min="3" max="3" width="18.140625" style="22" customWidth="1"/>
    <col min="4" max="4" width="13.140625" customWidth="1"/>
    <col min="5" max="5" width="14.5703125" customWidth="1"/>
    <col min="8" max="8" width="18.5703125" customWidth="1"/>
  </cols>
  <sheetData>
    <row r="1" spans="1:9">
      <c r="A1" s="25" t="s">
        <v>25</v>
      </c>
      <c r="B1" s="28" t="s">
        <v>8</v>
      </c>
      <c r="C1" s="24" t="s">
        <v>9</v>
      </c>
      <c r="D1" s="20" t="s">
        <v>26</v>
      </c>
      <c r="E1" s="20" t="s">
        <v>27</v>
      </c>
    </row>
    <row r="2" spans="1:9">
      <c r="A2" s="26" t="s">
        <v>28</v>
      </c>
      <c r="B2" s="29" t="s">
        <v>10</v>
      </c>
      <c r="C2" s="21" t="s">
        <v>11</v>
      </c>
      <c r="D2" s="22">
        <v>3000</v>
      </c>
      <c r="E2" s="27">
        <v>45566</v>
      </c>
      <c r="F2" s="22">
        <f>C2-D2</f>
        <v>0</v>
      </c>
      <c r="H2" t="s">
        <v>29</v>
      </c>
      <c r="I2">
        <f>SUMIF(A2:A9,"Income",C2:C9)</f>
        <v>0</v>
      </c>
    </row>
    <row r="3" spans="1:9">
      <c r="A3" s="26" t="s">
        <v>28</v>
      </c>
      <c r="B3" s="29" t="s">
        <v>12</v>
      </c>
      <c r="C3" s="21" t="s">
        <v>13</v>
      </c>
      <c r="D3" s="22">
        <v>1000</v>
      </c>
      <c r="E3" s="27">
        <v>45570</v>
      </c>
      <c r="F3" s="22">
        <f t="shared" ref="F3:F9" si="0">C3-D3</f>
        <v>0</v>
      </c>
      <c r="H3" t="s">
        <v>30</v>
      </c>
      <c r="I3">
        <f>SUMIF(A2:A9,"Expense",C2:C9)</f>
        <v>0</v>
      </c>
    </row>
    <row r="4" spans="1:9">
      <c r="A4" s="26" t="s">
        <v>28</v>
      </c>
      <c r="B4" s="29" t="s">
        <v>14</v>
      </c>
      <c r="C4" s="21" t="s">
        <v>15</v>
      </c>
      <c r="D4" s="22">
        <v>500</v>
      </c>
      <c r="E4" s="27">
        <v>45575</v>
      </c>
      <c r="F4" s="22">
        <f t="shared" si="0"/>
        <v>0</v>
      </c>
      <c r="H4" t="s">
        <v>31</v>
      </c>
      <c r="I4">
        <f>SUMIF(A2:A9,"Income",D2:D9)</f>
        <v>4500</v>
      </c>
    </row>
    <row r="5" spans="1:9">
      <c r="A5" s="26" t="s">
        <v>32</v>
      </c>
      <c r="B5" s="29" t="s">
        <v>16</v>
      </c>
      <c r="C5" s="21" t="s">
        <v>17</v>
      </c>
      <c r="D5" s="22">
        <v>1450</v>
      </c>
      <c r="E5" s="27">
        <v>45568</v>
      </c>
      <c r="F5" s="22">
        <f t="shared" si="0"/>
        <v>50</v>
      </c>
      <c r="H5" t="s">
        <v>33</v>
      </c>
      <c r="I5">
        <f>SUMIF(A2:A9,"Expense",D2:D9)</f>
        <v>3956</v>
      </c>
    </row>
    <row r="6" spans="1:9">
      <c r="A6" s="26" t="s">
        <v>32</v>
      </c>
      <c r="B6" s="29" t="s">
        <v>18</v>
      </c>
      <c r="C6" s="22" t="s">
        <v>19</v>
      </c>
      <c r="D6" s="22">
        <v>990</v>
      </c>
      <c r="E6" s="27">
        <v>45573</v>
      </c>
      <c r="F6" s="22">
        <f t="shared" si="0"/>
        <v>10</v>
      </c>
    </row>
    <row r="7" spans="1:9">
      <c r="A7" s="26" t="s">
        <v>32</v>
      </c>
      <c r="B7" s="29" t="s">
        <v>22</v>
      </c>
      <c r="C7" s="22" t="s">
        <v>21</v>
      </c>
      <c r="D7" s="22">
        <v>171</v>
      </c>
      <c r="E7" s="27">
        <v>45580</v>
      </c>
      <c r="F7" s="22">
        <f t="shared" si="0"/>
        <v>79</v>
      </c>
    </row>
    <row r="8" spans="1:9">
      <c r="A8" s="26" t="s">
        <v>32</v>
      </c>
      <c r="B8" s="29" t="s">
        <v>24</v>
      </c>
      <c r="C8" s="22" t="s">
        <v>23</v>
      </c>
      <c r="D8" s="22">
        <v>1120</v>
      </c>
      <c r="E8" s="27">
        <v>45585</v>
      </c>
      <c r="F8" s="22">
        <f t="shared" si="0"/>
        <v>-970</v>
      </c>
    </row>
    <row r="9" spans="1:9">
      <c r="A9" s="26" t="s">
        <v>32</v>
      </c>
      <c r="B9" s="29" t="s">
        <v>20</v>
      </c>
      <c r="C9" s="22" t="s">
        <v>19</v>
      </c>
      <c r="D9" s="22">
        <v>225</v>
      </c>
      <c r="E9" s="27">
        <v>45590</v>
      </c>
      <c r="F9" s="22">
        <f t="shared" si="0"/>
        <v>775</v>
      </c>
    </row>
    <row r="10" spans="1:9">
      <c r="A10" s="26"/>
      <c r="B10" s="29"/>
      <c r="D10" s="22"/>
      <c r="E10" s="27"/>
      <c r="F10" s="23"/>
    </row>
    <row r="11" spans="1:9">
      <c r="D11" s="22"/>
      <c r="E11" s="23"/>
      <c r="F1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Niq Hartley</dc:creator>
  <cp:keywords/>
  <dc:description/>
  <cp:lastModifiedBy/>
  <cp:revision/>
  <dcterms:created xsi:type="dcterms:W3CDTF">2024-09-15T15:31:49Z</dcterms:created>
  <dcterms:modified xsi:type="dcterms:W3CDTF">2025-12-10T22:56:26Z</dcterms:modified>
  <cp:category/>
  <cp:contentStatus/>
</cp:coreProperties>
</file>